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8cc2bdf78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e" sheetId="1" r:id="Ra45c4aca50e04a94"/>
    <x:sheet xmlns:r="http://schemas.openxmlformats.org/officeDocument/2006/relationships" name="Build QC" sheetId="2" r:id="R2cacd6b08745498d"/>
    <x:sheet xmlns:r="http://schemas.openxmlformats.org/officeDocument/2006/relationships" name="Thermal Log" sheetId="3" r:id="Rf821869f5f8f44b7"/>
    <x:sheet xmlns:r="http://schemas.openxmlformats.org/officeDocument/2006/relationships" name="Force Travel" sheetId="4" r:id="R79b6757447d6459f"/>
    <x:sheet xmlns:r="http://schemas.openxmlformats.org/officeDocument/2006/relationships" name="Release" sheetId="5" r:id="R2b059d4ad0ab45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7">
    <x:font>
      <x:sz val="11"/>
      <x:name val="Carlito"/>
    </x:font>
    <x:font>
      <x:b/>
      <x:sz val="15"/>
      <x:color rgb="FF000000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0"/>
      <x:name val="Arial"/>
    </x:font>
    <x:font>
      <x:b/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7">
    <x:border/>
    <x:border>
      <x:bottom style="medium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200" fontId="4" fillId="3" borderId="9" xfId="0" applyNumberFormat="1" applyFont="1" applyFill="1" applyBorder="1" applyAlignment="1">
      <x:alignment vertical="center" wrapText="1"/>
    </x:xf>
    <x:xf numFmtId="201" fontId="4" fillId="3" borderId="9" xfId="0" applyNumberFormat="1" applyFont="1" applyFill="1" applyBorder="1" applyAlignment="1">
      <x:alignment vertical="center" wrapText="1"/>
    </x:xf>
    <x:xf numFmtId="201" fontId="4" fillId="3" borderId="1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4" xfId="0" applyNumberFormat="1" applyFont="1" applyFill="1" applyBorder="1"/>
    <x:xf numFmtId="0" fontId="6" fillId="4" borderId="15" xfId="0" applyNumberFormat="1" applyFont="1" applyFill="1" applyBorder="1"/>
    <x:xf numFmtId="0" fontId="6" fillId="4" borderId="16" xfId="0" applyNumberFormat="1" applyFont="1" applyFill="1" applyBorder="1"/>
    <x:xf numFmtId="0" fontId="4" fillId="3" borderId="7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200" fontId="4" fillId="3" borderId="12" xfId="0" applyNumberFormat="1" applyFont="1" applyFill="1" applyBorder="1" applyAlignment="1">
      <x:alignment vertical="center" wrapText="1"/>
    </x:xf>
    <x:xf numFmtId="200" fontId="4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fd4f728924415" /><Relationship Type="http://schemas.openxmlformats.org/officeDocument/2006/relationships/theme" Target="/xl/theme/theme1.xml" Id="R82889049847b4b8f" /><Relationship Type="http://schemas.openxmlformats.org/officeDocument/2006/relationships/sharedStrings" Target="/xl/sharedStrings.xml" Id="R4199dc6cdddf4fe4" /><Relationship Type="http://schemas.openxmlformats.org/officeDocument/2006/relationships/worksheet" Target="/xl/worksheets/sheet1.xml" Id="Ra45c4aca50e04a94" /><Relationship Type="http://schemas.openxmlformats.org/officeDocument/2006/relationships/worksheet" Target="/xl/worksheets/sheet2.xml" Id="R2cacd6b08745498d" /><Relationship Type="http://schemas.openxmlformats.org/officeDocument/2006/relationships/worksheet" Target="/xl/worksheets/sheet3.xml" Id="Rf821869f5f8f44b7" /><Relationship Type="http://schemas.openxmlformats.org/officeDocument/2006/relationships/worksheet" Target="/xl/worksheets/sheet4.xml" Id="R79b6757447d6459f" /><Relationship Type="http://schemas.openxmlformats.org/officeDocument/2006/relationships/worksheet" Target="/xl/worksheets/sheet5.xml" Id="R2b059d4ad0ab45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38" hidden="0" customWidth="1"/>
  </x:cols>
  <x:sheetData>
    <x:row r="1" ht="20" customHeight="1">
      <x:c r="A1" s="1" t="str">
        <x:v>Rev62 build baseline</x:v>
      </x:c>
    </x:row>
    <x:row r="2" ht="20" customHeight="1">
      <x:c r="A2" s="3" t="str">
        <x:v>Frozen electromagnetic geometry and provisional commissioning limits.</x:v>
      </x:c>
    </x:row>
    <x:row r="3" ht="20" customHeight="1">
      <x:c r="A3" s="4"/>
      <x:c r="B3" s="4"/>
      <x:c r="C3" s="4"/>
      <x:c r="D3" s="4"/>
    </x:row>
    <x:row r="4" ht="20" customHeight="1"/>
    <x:row r="5" ht="20" customHeight="1">
      <x:c r="A5" s="16" t="str">
        <x:v>Parameter</x:v>
      </x:c>
      <x:c r="B5" s="17" t="str">
        <x:v>Value</x:v>
      </x:c>
      <x:c r="C5" s="17" t="str">
        <x:v>Unit</x:v>
      </x:c>
      <x:c r="D5" s="18" t="str">
        <x:v>Notes</x:v>
      </x:c>
    </x:row>
    <x:row r="6" ht="20" customHeight="1">
      <x:c r="A6" s="22" t="str">
        <x:v>Build ID</x:v>
      </x:c>
      <x:c r="B6" s="31" t="str">
        <x:v>Rev62</x:v>
      </x:c>
      <x:c r="C6" s="23" t="str"/>
      <x:c r="D6" s="24" t="str">
        <x:v>Robust real-wall bobbin</x:v>
      </x:c>
    </x:row>
    <x:row r="7" ht="20" customHeight="1">
      <x:c r="A7" s="25" t="str">
        <x:v>Carbon tube OD</x:v>
      </x:c>
      <x:c r="B7" s="34" t="n">
        <x:v>12</x:v>
      </x:c>
      <x:c r="C7" s="26" t="str">
        <x:v>mm</x:v>
      </x:c>
      <x:c r="D7" s="27" t="str">
        <x:v>Measure actual tube before winding</x:v>
      </x:c>
    </x:row>
    <x:row r="8" ht="20" customHeight="1">
      <x:c r="A8" s="25" t="str">
        <x:v>Bobbin ID</x:v>
      </x:c>
      <x:c r="B8" s="34" t="n">
        <x:v>12.4</x:v>
      </x:c>
      <x:c r="C8" s="26" t="str">
        <x:v>mm</x:v>
      </x:c>
      <x:c r="D8" s="27" t="str">
        <x:v>PEEK or G10</x:v>
      </x:c>
    </x:row>
    <x:row r="9" ht="20" customHeight="1">
      <x:c r="A9" s="25" t="str">
        <x:v>Bobbin wall</x:v>
      </x:c>
      <x:c r="B9" s="34" t="n">
        <x:v>0.1</x:v>
      </x:c>
      <x:c r="C9" s="26" t="str">
        <x:v>mm</x:v>
      </x:c>
      <x:c r="D9" s="27" t="str">
        <x:v>Copper begins outside this wall</x:v>
      </x:c>
    </x:row>
    <x:row r="10" ht="20" customHeight="1">
      <x:c r="A10" s="25" t="str">
        <x:v>Copper inner radius</x:v>
      </x:c>
      <x:c r="B10" s="34" t="n">
        <x:v>6.3</x:v>
      </x:c>
      <x:c r="C10" s="26" t="str">
        <x:v>mm</x:v>
      </x:c>
      <x:c r="D10" s="27" t="str">
        <x:v>Rev62 FEMM geometry</x:v>
      </x:c>
    </x:row>
    <x:row r="11" ht="20" customHeight="1">
      <x:c r="A11" s="25" t="str">
        <x:v>Copper outer radius</x:v>
      </x:c>
      <x:c r="B11" s="34" t="n">
        <x:v>8.4</x:v>
      </x:c>
      <x:c r="C11" s="26" t="str">
        <x:v>mm</x:v>
      </x:c>
      <x:c r="D11" s="27" t="str">
        <x:v>Wound OD = 16.80 mm</x:v>
      </x:c>
    </x:row>
    <x:row r="12" ht="20" customHeight="1">
      <x:c r="A12" s="25" t="str">
        <x:v>Coil axial window</x:v>
      </x:c>
      <x:c r="B12" s="34" t="n">
        <x:v>4</x:v>
      </x:c>
      <x:c r="C12" s="26" t="str">
        <x:v>mm</x:v>
      </x:c>
      <x:c r="D12" s="27" t="str">
        <x:v>Six coils at 8 mm pitch</x:v>
      </x:c>
    </x:row>
    <x:row r="13" ht="20" customHeight="1">
      <x:c r="A13" s="25" t="str">
        <x:v>Coil radial window</x:v>
      </x:c>
      <x:c r="B13" s="34" t="n">
        <x:v>2.1</x:v>
      </x:c>
      <x:c r="C13" s="26" t="str">
        <x:v>mm</x:v>
      </x:c>
      <x:c r="D13" s="27" t="str">
        <x:v>Verify actual wire fit</x:v>
      </x:c>
    </x:row>
    <x:row r="14" ht="20" customHeight="1">
      <x:c r="A14" s="25" t="str">
        <x:v>Turns per coil</x:v>
      </x:c>
      <x:c r="B14" s="34" t="n">
        <x:v>80</x:v>
      </x:c>
      <x:c r="C14" s="26" t="str">
        <x:v>turns</x:v>
      </x:c>
      <x:c r="D14" s="27" t="str">
        <x:v>A-B-C-A-B-C</x:v>
      </x:c>
    </x:row>
    <x:row r="15" ht="20" customHeight="1">
      <x:c r="A15" s="25" t="str">
        <x:v>Wire candidate</x:v>
      </x:c>
      <x:c r="B15" s="32" t="str">
        <x:v>AWG30</x:v>
      </x:c>
      <x:c r="C15" s="26" t="str"/>
      <x:c r="D15" s="27" t="str">
        <x:v>Confirm finished diameter &lt;= 0.29 mm</x:v>
      </x:c>
    </x:row>
    <x:row r="16" ht="20" customHeight="1">
      <x:c r="A16" s="25" t="str">
        <x:v>Safe centred travel</x:v>
      </x:c>
      <x:c r="B16" s="34" t="n">
        <x:v>20</x:v>
      </x:c>
      <x:c r="C16" s="26" t="str">
        <x:v>mm</x:v>
      </x:c>
      <x:c r="D16" s="27" t="str">
        <x:v>Use ±18 mm initial soft limits</x:v>
      </x:c>
    </x:row>
    <x:row r="17" ht="20" customHeight="1">
      <x:c r="A17" s="25" t="str">
        <x:v>KF minimum</x:v>
      </x:c>
      <x:c r="B17" s="32" t="n">
        <x:v>3.012</x:v>
      </x:c>
      <x:c r="C17" s="26" t="str">
        <x:v>N/A phase peak</x:v>
      </x:c>
      <x:c r="D17" s="27" t="str">
        <x:v>Validated FEMM range</x:v>
      </x:c>
    </x:row>
    <x:row r="18" ht="20" customHeight="1">
      <x:c r="A18" s="25" t="str">
        <x:v>KF maximum</x:v>
      </x:c>
      <x:c r="B18" s="35" t="n">
        <x:v>3.094</x:v>
      </x:c>
      <x:c r="C18" s="26" t="str">
        <x:v>N/A phase peak</x:v>
      </x:c>
      <x:c r="D18" s="27" t="str">
        <x:v>Validated FEMM range</x:v>
      </x:c>
    </x:row>
    <x:row r="19" ht="20" customHeight="1">
      <x:c r="A19" s="25" t="str">
        <x:v>Target carriage mass</x:v>
      </x:c>
      <x:c r="B19" s="35" t="n">
        <x:v>0.5</x:v>
      </x:c>
      <x:c r="C19" s="26" t="str">
        <x:v>kg</x:v>
      </x:c>
      <x:c r="D19" s="27" t="str">
        <x:v>User design target</x:v>
      </x:c>
    </x:row>
    <x:row r="20" ht="20" customHeight="1">
      <x:c r="A20" s="25" t="str">
        <x:v>Target acceleration</x:v>
      </x:c>
      <x:c r="B20" s="35" t="n">
        <x:v>5.186</x:v>
      </x:c>
      <x:c r="C20" s="26" t="str">
        <x:v>m/s²</x:v>
      </x:c>
      <x:c r="D20" s="27" t="str">
        <x:v>User design target</x:v>
      </x:c>
    </x:row>
    <x:row r="21" ht="20" customHeight="1">
      <x:c r="A21" s="25" t="str">
        <x:v>Required thrust</x:v>
      </x:c>
      <x:c r="B21" s="35" t="n">
        <x:f>B19*B20</x:f>
        <x:v>2.593</x:v>
      </x:c>
      <x:c r="C21" s="26" t="str">
        <x:v>N</x:v>
      </x:c>
      <x:c r="D21" s="27" t="str">
        <x:v>Mass × acceleration</x:v>
      </x:c>
    </x:row>
    <x:row r="22" ht="20" customHeight="1">
      <x:c r="A22" s="25" t="str">
        <x:v>Initial thermal-test current</x:v>
      </x:c>
      <x:c r="B22" s="35" t="n">
        <x:v>0.75</x:v>
      </x:c>
      <x:c r="C22" s="26" t="str">
        <x:v>A phase peak</x:v>
      </x:c>
      <x:c r="D22" s="27" t="str">
        <x:v>Promote only after a stable thermal run</x:v>
      </x:c>
    </x:row>
    <x:row r="23" ht="20" customHeight="1">
      <x:c r="A23" s="25" t="str">
        <x:v>Acceleration candidate</x:v>
      </x:c>
      <x:c r="B23" s="35" t="n">
        <x:v>1.5</x:v>
      </x:c>
      <x:c r="C23" s="26" t="str">
        <x:v>A phase peak</x:v>
      </x:c>
      <x:c r="D23" s="27" t="str">
        <x:v>Thermal-test candidate</x:v>
      </x:c>
    </x:row>
    <x:row r="24" ht="20" customHeight="1">
      <x:c r="A24" s="25" t="str">
        <x:v>Short peak candidate</x:v>
      </x:c>
      <x:c r="B24" s="35" t="n">
        <x:v>2</x:v>
      </x:c>
      <x:c r="C24" s="26" t="str">
        <x:v>A phase peak</x:v>
      </x:c>
      <x:c r="D24" s="27" t="str">
        <x:v>Duty-limited until tested</x:v>
      </x:c>
    </x:row>
    <x:row r="25" ht="20" customHeight="1">
      <x:c r="A25" s="28" t="str">
        <x:v>Commissioning ceiling</x:v>
      </x:c>
      <x:c r="B25" s="36" t="n">
        <x:v>2.5</x:v>
      </x:c>
      <x:c r="C25" s="29" t="str">
        <x:v>A phase peak</x:v>
      </x:c>
      <x:c r="D25" s="30" t="str">
        <x:v>Do not use without measured thermal data</x:v>
      </x:c>
    </x:row>
    <x:row r="26" ht="20" customHeight="1"/>
    <x:row r="27" ht="20" customHeight="1">
      <x:c r="A27" s="40" t="str">
        <x:v>Do not treat FEMM force confirmation as a physical thermal rating. The thermal log and release sheet establish the approved current limits.</x:v>
      </x:c>
    </x:row>
    <x:row r="28" ht="20" customHeight="1"/>
  </x:sheetData>
  <x:mergeCells>
    <x:mergeCell ref="A1:D1"/>
    <x:mergeCell ref="A2:D2"/>
    <x:mergeCell ref="A27:D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0" hidden="0" customWidth="1"/>
    <x:col min="12" max="12" width="15" hidden="0" customWidth="1"/>
  </x:cols>
  <x:sheetData>
    <x:row r="1">
      <x:c r="A1" s="1" t="str">
        <x:v>Rev62 build quality control</x:v>
      </x:c>
    </x:row>
    <x:row r="2">
      <x:c r="A2" s="3" t="str">
        <x:v>Record measurements before potting or connecting the complete phase set.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5">
      <x:c r="A5" s="43" t="str">
        <x:v>Materials and dimensions</x:v>
      </x:c>
      <x:c r="B5" s="44"/>
      <x:c r="C5" s="44"/>
      <x:c r="D5" s="44"/>
      <x:c r="E5" s="44"/>
      <x:c r="F5" s="44"/>
      <x:c r="G5" s="44"/>
      <x:c r="H5" s="44"/>
      <x:c r="I5" s="44"/>
      <x:c r="J5" s="44"/>
      <x:c r="K5" s="44"/>
      <x:c r="L5" s="45"/>
    </x:row>
    <x:row r="6">
      <x:c r="A6" s="16" t="str">
        <x:v>Item</x:v>
      </x:c>
      <x:c r="B6" s="17" t="str">
        <x:v>Supplier / lot</x:v>
      </x:c>
      <x:c r="C6" s="17" t="str">
        <x:v>Nominal</x:v>
      </x:c>
      <x:c r="D6" s="17" t="str">
        <x:v>Measured</x:v>
      </x:c>
      <x:c r="E6" s="17" t="str">
        <x:v>Unit</x:v>
      </x:c>
      <x:c r="F6" s="17" t="str">
        <x:v>Requirement</x:v>
      </x:c>
      <x:c r="G6" s="17" t="str">
        <x:v>Status</x:v>
      </x:c>
      <x:c r="H6" s="18" t="str">
        <x:v>Notes</x:v>
      </x:c>
    </x:row>
    <x:row r="7">
      <x:c r="A7" s="22" t="str">
        <x:v>Carbon tube</x:v>
      </x:c>
      <x:c r="B7" s="23" t="str"/>
      <x:c r="C7" s="31" t="n">
        <x:v>12</x:v>
      </x:c>
      <x:c r="D7" s="31" t="str"/>
      <x:c r="E7" s="23" t="str">
        <x:v>mm OD</x:v>
      </x:c>
      <x:c r="F7" s="23" t="str">
        <x:v>Fits bobbin without binding</x:v>
      </x:c>
      <x:c r="G7" s="23" t="str">
        <x:v>Pending</x:v>
      </x:c>
      <x:c r="H7" s="24" t="str">
        <x:v>Measure at multiple axial points</x:v>
      </x:c>
    </x:row>
    <x:row r="8">
      <x:c r="A8" s="25" t="str">
        <x:v>Bobbin ID</x:v>
      </x:c>
      <x:c r="B8" s="26" t="str"/>
      <x:c r="C8" s="32" t="n">
        <x:v>12.4</x:v>
      </x:c>
      <x:c r="D8" s="32" t="str"/>
      <x:c r="E8" s="26" t="str">
        <x:v>mm</x:v>
      </x:c>
      <x:c r="F8" s="26" t="str">
        <x:v>Clearance to tube confirmed</x:v>
      </x:c>
      <x:c r="G8" s="26" t="str">
        <x:v>Pending</x:v>
      </x:c>
      <x:c r="H8" s="27" t="str">
        <x:v>PEEK or G10</x:v>
      </x:c>
    </x:row>
    <x:row r="9">
      <x:c r="A9" s="25" t="str">
        <x:v>Bobbin wall</x:v>
      </x:c>
      <x:c r="B9" s="26" t="str"/>
      <x:c r="C9" s="32" t="n">
        <x:v>0.1</x:v>
      </x:c>
      <x:c r="D9" s="32" t="str"/>
      <x:c r="E9" s="26" t="str">
        <x:v>mm</x:v>
      </x:c>
      <x:c r="F9" s="26" t="str">
        <x:v>Copper start at r = 6.30 mm</x:v>
      </x:c>
      <x:c r="G9" s="26" t="str">
        <x:v>Pending</x:v>
      </x:c>
      <x:c r="H9" s="27" t="str">
        <x:v>Measure after machining</x:v>
      </x:c>
    </x:row>
    <x:row r="10">
      <x:c r="A10" s="25" t="str">
        <x:v>Bobbin pocket width</x:v>
      </x:c>
      <x:c r="B10" s="26" t="str"/>
      <x:c r="C10" s="32" t="n">
        <x:v>4</x:v>
      </x:c>
      <x:c r="D10" s="32" t="str"/>
      <x:c r="E10" s="26" t="str">
        <x:v>mm</x:v>
      </x:c>
      <x:c r="F10" s="26" t="str">
        <x:v>Coil fits without pinching</x:v>
      </x:c>
      <x:c r="G10" s="26" t="str">
        <x:v>Pending</x:v>
      </x:c>
      <x:c r="H10" s="27" t="str">
        <x:v>Each pocket</x:v>
      </x:c>
    </x:row>
    <x:row r="11">
      <x:c r="A11" s="25" t="str">
        <x:v>AWG30 finished diameter</x:v>
      </x:c>
      <x:c r="B11" s="26" t="str"/>
      <x:c r="C11" s="32" t="n">
        <x:v>0.29</x:v>
      </x:c>
      <x:c r="D11" s="32" t="str"/>
      <x:c r="E11" s="26" t="str">
        <x:v>mm max</x:v>
      </x:c>
      <x:c r="F11" s="26" t="str">
        <x:v>≤ 0.29 mm target</x:v>
      </x:c>
      <x:c r="G11" s="26" t="str">
        <x:v>Pending</x:v>
      </x:c>
      <x:c r="H11" s="27" t="str">
        <x:v>Measure sample wire</x:v>
      </x:c>
    </x:row>
    <x:row r="12">
      <x:c r="A12" s="28" t="str">
        <x:v>Adhesive / impregnation</x:v>
      </x:c>
      <x:c r="B12" s="29" t="str"/>
      <x:c r="C12" s="33" t="str"/>
      <x:c r="D12" s="33" t="str"/>
      <x:c r="E12" s="29" t="str"/>
      <x:c r="F12" s="29" t="str">
        <x:v>Temperature-compatible</x:v>
      </x:c>
      <x:c r="G12" s="29" t="str">
        <x:v>Pending</x:v>
      </x:c>
      <x:c r="H12" s="30" t="str">
        <x:v>Record product and cure</x:v>
      </x:c>
    </x:row>
    <x:row r="15">
      <x:c r="A15" s="43" t="str">
        <x:v>Trial coil and production-coil record</x:v>
      </x:c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5"/>
    </x:row>
    <x:row r="16">
      <x:c r="A16" s="16" t="str">
        <x:v>Coil</x:v>
      </x:c>
      <x:c r="B16" s="17" t="str">
        <x:v>Phase</x:v>
      </x:c>
      <x:c r="C16" s="17" t="str">
        <x:v>Axial centre (mm)</x:v>
      </x:c>
      <x:c r="D16" s="17" t="str">
        <x:v>Turns target</x:v>
      </x:c>
      <x:c r="E16" s="17" t="str">
        <x:v>Turns actual</x:v>
      </x:c>
      <x:c r="F16" s="17" t="str">
        <x:v>Wire lot</x:v>
      </x:c>
      <x:c r="G16" s="17" t="str">
        <x:v>Start lead</x:v>
      </x:c>
      <x:c r="H16" s="17" t="str">
        <x:v>Finish lead</x:v>
      </x:c>
      <x:c r="I16" s="17" t="str">
        <x:v>R coil (Ω)</x:v>
      </x:c>
      <x:c r="J16" s="17" t="str">
        <x:v>Test °C</x:v>
      </x:c>
      <x:c r="K16" s="17" t="str">
        <x:v>Insulation result</x:v>
      </x:c>
      <x:c r="L16" s="18" t="str">
        <x:v>Status</x:v>
      </x:c>
    </x:row>
    <x:row r="17">
      <x:c r="A17" s="22" t="str">
        <x:v>C0 trial</x:v>
      </x:c>
      <x:c r="B17" s="23" t="str"/>
      <x:c r="C17" s="23" t="str"/>
      <x:c r="D17" s="31" t="n">
        <x:v>80</x:v>
      </x:c>
      <x:c r="E17" s="31" t="str"/>
      <x:c r="F17" s="31" t="str"/>
      <x:c r="G17" s="31" t="str"/>
      <x:c r="H17" s="31" t="str"/>
      <x:c r="I17" s="31" t="str"/>
      <x:c r="J17" s="31" t="str"/>
      <x:c r="K17" s="31" t="str"/>
      <x:c r="L17" s="24" t="str">
        <x:v>Pending</x:v>
      </x:c>
    </x:row>
    <x:row r="18">
      <x:c r="A18" s="25" t="str">
        <x:v>C1</x:v>
      </x:c>
      <x:c r="B18" s="26" t="str">
        <x:v>A</x:v>
      </x:c>
      <x:c r="C18" s="26" t="n">
        <x:v>16</x:v>
      </x:c>
      <x:c r="D18" s="32" t="n">
        <x:v>80</x:v>
      </x:c>
      <x:c r="E18" s="32" t="str"/>
      <x:c r="F18" s="32" t="str"/>
      <x:c r="G18" s="32" t="str"/>
      <x:c r="H18" s="32" t="str"/>
      <x:c r="I18" s="32" t="str"/>
      <x:c r="J18" s="32" t="str"/>
      <x:c r="K18" s="32" t="str"/>
      <x:c r="L18" s="27" t="str">
        <x:v>Pending</x:v>
      </x:c>
    </x:row>
    <x:row r="19">
      <x:c r="A19" s="25" t="str">
        <x:v>C2</x:v>
      </x:c>
      <x:c r="B19" s="26" t="str">
        <x:v>B</x:v>
      </x:c>
      <x:c r="C19" s="26" t="n">
        <x:v>24</x:v>
      </x:c>
      <x:c r="D19" s="32" t="n">
        <x:v>80</x:v>
      </x:c>
      <x:c r="E19" s="32" t="str"/>
      <x:c r="F19" s="32" t="str"/>
      <x:c r="G19" s="32" t="str"/>
      <x:c r="H19" s="32" t="str"/>
      <x:c r="I19" s="32" t="str"/>
      <x:c r="J19" s="32" t="str"/>
      <x:c r="K19" s="32" t="str"/>
      <x:c r="L19" s="27" t="str">
        <x:v>Pending</x:v>
      </x:c>
    </x:row>
    <x:row r="20">
      <x:c r="A20" s="25" t="str">
        <x:v>C3</x:v>
      </x:c>
      <x:c r="B20" s="26" t="str">
        <x:v>C</x:v>
      </x:c>
      <x:c r="C20" s="26" t="n">
        <x:v>32</x:v>
      </x:c>
      <x:c r="D20" s="32" t="n">
        <x:v>80</x:v>
      </x:c>
      <x:c r="E20" s="32" t="str"/>
      <x:c r="F20" s="32" t="str"/>
      <x:c r="G20" s="32" t="str"/>
      <x:c r="H20" s="32" t="str"/>
      <x:c r="I20" s="32" t="str"/>
      <x:c r="J20" s="32" t="str"/>
      <x:c r="K20" s="32" t="str"/>
      <x:c r="L20" s="27" t="str">
        <x:v>Pending</x:v>
      </x:c>
    </x:row>
    <x:row r="21">
      <x:c r="A21" s="25" t="str">
        <x:v>C4</x:v>
      </x:c>
      <x:c r="B21" s="26" t="str">
        <x:v>A</x:v>
      </x:c>
      <x:c r="C21" s="26" t="n">
        <x:v>40</x:v>
      </x:c>
      <x:c r="D21" s="32" t="n">
        <x:v>80</x:v>
      </x:c>
      <x:c r="E21" s="32" t="str"/>
      <x:c r="F21" s="32" t="str"/>
      <x:c r="G21" s="32" t="str"/>
      <x:c r="H21" s="32" t="str"/>
      <x:c r="I21" s="32" t="str"/>
      <x:c r="J21" s="32" t="str"/>
      <x:c r="K21" s="32" t="str"/>
      <x:c r="L21" s="27" t="str">
        <x:v>Pending</x:v>
      </x:c>
    </x:row>
    <x:row r="22">
      <x:c r="A22" s="25" t="str">
        <x:v>C5</x:v>
      </x:c>
      <x:c r="B22" s="26" t="str">
        <x:v>B</x:v>
      </x:c>
      <x:c r="C22" s="26" t="n">
        <x:v>48</x:v>
      </x:c>
      <x:c r="D22" s="32" t="n">
        <x:v>80</x:v>
      </x:c>
      <x:c r="E22" s="32" t="str"/>
      <x:c r="F22" s="32" t="str"/>
      <x:c r="G22" s="32" t="str"/>
      <x:c r="H22" s="32" t="str"/>
      <x:c r="I22" s="32" t="str"/>
      <x:c r="J22" s="32" t="str"/>
      <x:c r="K22" s="32" t="str"/>
      <x:c r="L22" s="27" t="str">
        <x:v>Pending</x:v>
      </x:c>
    </x:row>
    <x:row r="23">
      <x:c r="A23" s="28" t="str">
        <x:v>C6</x:v>
      </x:c>
      <x:c r="B23" s="29" t="str">
        <x:v>C</x:v>
      </x:c>
      <x:c r="C23" s="29" t="n">
        <x:v>56</x:v>
      </x:c>
      <x:c r="D23" s="33" t="n">
        <x:v>80</x:v>
      </x:c>
      <x:c r="E23" s="33" t="str"/>
      <x:c r="F23" s="33" t="str"/>
      <x:c r="G23" s="33" t="str"/>
      <x:c r="H23" s="33" t="str"/>
      <x:c r="I23" s="33" t="str"/>
      <x:c r="J23" s="33" t="str"/>
      <x:c r="K23" s="33" t="str"/>
      <x:c r="L23" s="30" t="str">
        <x:v>Pending</x:v>
      </x:c>
    </x:row>
    <x:row r="26">
      <x:c r="A26" s="39" t="str">
        <x:v>Phase polarity gate: connect C1-C4, C2-C5, and C3-C6 in series only after low-current induced-voltage or force-direction testing.</x:v>
      </x:c>
    </x:row>
  </x:sheetData>
  <x:mergeCells>
    <x:mergeCell ref="A1:L1"/>
    <x:mergeCell ref="A2:L2"/>
    <x:mergeCell ref="A5:L5"/>
    <x:mergeCell ref="A15:L15"/>
    <x:mergeCell ref="A26:L26"/>
  </x:mergeCells>
  <x:conditionalFormatting sqref="G7:G12">
    <x:cfRule type="containsText" dxfId="0" priority="1" operator="containsText" text="Pass"/>
    <x:cfRule type="containsText" dxfId="1" priority="2" operator="containsText" text="Fail"/>
  </x:conditionalFormatting>
  <x:conditionalFormatting sqref="L17:L23">
    <x:cfRule type="containsText" dxfId="2" priority="3" operator="containsText" text="Pass"/>
    <x:cfRule type="containsText" dxfId="3" priority="4" operator="containsText" text="Fail"/>
  </x:conditionalFormatting>
  <x:dataValidations count="2">
    <x:dataValidation type="list" sqref="G7:G12">
      <x:formula1>"Pending,Pass,Fail,N/A"</x:formula1>
    </x:dataValidation>
    <x:dataValidation type="list" sqref="L17:L23">
      <x:formula1>"Pending,Pass,Fail,Rework"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4" hidden="0" customWidth="1"/>
    <x:col min="14" max="14" width="15" hidden="0" customWidth="1"/>
    <x:col min="15" max="15" width="15" hidden="0" customWidth="1"/>
    <x:col min="16" max="16" width="15" hidden="0" customWidth="1"/>
    <x:col min="17" max="17" width="24" hidden="0" customWidth="1"/>
    <x:col min="18" max="18" width="15" hidden="0" customWidth="1"/>
  </x:cols>
  <x:sheetData>
    <x:row r="1">
      <x:c r="A1" s="1" t="str">
        <x:v>Rev62 thermal commissioning log</x:v>
      </x:c>
    </x:row>
    <x:row r="2">
      <x:c r="A2" s="3" t="str">
        <x:v>Use the final mounting and worst expected chamber condition. Record raw readings rather than interpolated values.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5">
      <x:c r="A5" s="16" t="str">
        <x:v>Run ID</x:v>
      </x:c>
      <x:c r="B5" s="17" t="str">
        <x:v>Date</x:v>
      </x:c>
      <x:c r="C5" s="17" t="str">
        <x:v>Build ID</x:v>
      </x:c>
      <x:c r="D5" s="17" t="str">
        <x:v>Assembly state</x:v>
      </x:c>
      <x:c r="E5" s="17" t="str">
        <x:v>Chamber °C</x:v>
      </x:c>
      <x:c r="F5" s="17" t="str">
        <x:v>Phase peak A</x:v>
      </x:c>
      <x:c r="G5" s="17" t="str">
        <x:v>Phase RMS A</x:v>
      </x:c>
      <x:c r="H5" s="17" t="str">
        <x:v>Phase R Ω</x:v>
      </x:c>
      <x:c r="I5" s="17" t="str">
        <x:v>Copper °C from R</x:v>
      </x:c>
      <x:c r="J5" s="17" t="str">
        <x:v>Max coil NTC °C</x:v>
      </x:c>
      <x:c r="K5" s="17" t="str">
        <x:v>Carrier °C</x:v>
      </x:c>
      <x:c r="L5" s="17" t="str">
        <x:v>Elapsed min</x:v>
      </x:c>
      <x:c r="M5" s="17" t="str">
        <x:v>Duty / waveform</x:v>
      </x:c>
      <x:c r="N5" s="17" t="str">
        <x:v>Copper loss W</x:v>
      </x:c>
      <x:c r="O5" s="17" t="str">
        <x:v>Estimated Rθ K/W</x:v>
      </x:c>
      <x:c r="P5" s="17" t="str">
        <x:v>Steady state</x:v>
      </x:c>
      <x:c r="Q5" s="17" t="str">
        <x:v>Stop reason</x:v>
      </x:c>
      <x:c r="R5" s="18" t="str">
        <x:v>Result</x:v>
      </x:c>
    </x:row>
    <x:row r="6">
      <x:c r="A6" s="22" t="str">
        <x:v>T01</x:v>
      </x:c>
      <x:c r="B6" s="31" t="str"/>
      <x:c r="C6" s="31" t="str">
        <x:v>Rev62</x:v>
      </x:c>
      <x:c r="D6" s="31" t="str"/>
      <x:c r="E6" s="49" t="str"/>
      <x:c r="F6" s="49" t="str"/>
      <x:c r="G6" s="50" t="str">
        <x:f>IF(F6="","",F6/SQRT(2))</x:f>
      </x:c>
      <x:c r="H6" s="49" t="str"/>
      <x:c r="I6" s="50" t="str">
        <x:f>IF(OR(H6="",$B$34=""),"",20+((H6/$B$34)-1)/0.00393)</x:f>
      </x:c>
      <x:c r="J6" s="49" t="str"/>
      <x:c r="K6" s="49" t="str"/>
      <x:c r="L6" s="49" t="str"/>
      <x:c r="M6" s="49" t="str"/>
      <x:c r="N6" s="50" t="str">
        <x:f>IF(OR(F6="",H6=""),"",1.5*F6^2*H6)</x:f>
      </x:c>
      <x:c r="O6" s="50" t="str">
        <x:f>IF(OR(J6="",E6="",N6=""),"",(J6-E6)/N6)</x:f>
      </x:c>
      <x:c r="P6" s="31" t="str">
        <x:v>Pending</x:v>
      </x:c>
      <x:c r="Q6" s="31" t="str"/>
      <x:c r="R6" s="46" t="str">
        <x:v>Pending</x:v>
      </x:c>
    </x:row>
    <x:row r="7">
      <x:c r="A7" s="25" t="str">
        <x:v>T02</x:v>
      </x:c>
      <x:c r="B7" s="32" t="str"/>
      <x:c r="C7" s="32" t="str">
        <x:v>Rev62</x:v>
      </x:c>
      <x:c r="D7" s="32" t="str"/>
      <x:c r="E7" s="34" t="str"/>
      <x:c r="F7" s="34" t="str"/>
      <x:c r="G7" s="51" t="str">
        <x:f>IF(F7="","",F7/SQRT(2))</x:f>
      </x:c>
      <x:c r="H7" s="34" t="str"/>
      <x:c r="I7" s="51" t="str">
        <x:f>IF(OR(H7="",$B$34=""),"",20+((H7/$B$34)-1)/0.00393)</x:f>
      </x:c>
      <x:c r="J7" s="34" t="str"/>
      <x:c r="K7" s="34" t="str"/>
      <x:c r="L7" s="34" t="str"/>
      <x:c r="M7" s="34" t="str"/>
      <x:c r="N7" s="51" t="str">
        <x:f>IF(OR(F7="",H7=""),"",1.5*F7^2*H7)</x:f>
      </x:c>
      <x:c r="O7" s="51" t="str">
        <x:f>IF(OR(J7="",E7="",N7=""),"",(J7-E7)/N7)</x:f>
      </x:c>
      <x:c r="P7" s="32" t="str">
        <x:v>Pending</x:v>
      </x:c>
      <x:c r="Q7" s="32" t="str"/>
      <x:c r="R7" s="47" t="str">
        <x:v>Pending</x:v>
      </x:c>
    </x:row>
    <x:row r="8">
      <x:c r="A8" s="25" t="str">
        <x:v>T03</x:v>
      </x:c>
      <x:c r="B8" s="32" t="str"/>
      <x:c r="C8" s="32" t="str">
        <x:v>Rev62</x:v>
      </x:c>
      <x:c r="D8" s="32" t="str"/>
      <x:c r="E8" s="34" t="str"/>
      <x:c r="F8" s="34" t="str"/>
      <x:c r="G8" s="51" t="str">
        <x:f>IF(F8="","",F8/SQRT(2))</x:f>
      </x:c>
      <x:c r="H8" s="34" t="str"/>
      <x:c r="I8" s="51" t="str">
        <x:f>IF(OR(H8="",$B$34=""),"",20+((H8/$B$34)-1)/0.00393)</x:f>
      </x:c>
      <x:c r="J8" s="34" t="str"/>
      <x:c r="K8" s="34" t="str"/>
      <x:c r="L8" s="34" t="str"/>
      <x:c r="M8" s="34" t="str"/>
      <x:c r="N8" s="51" t="str">
        <x:f>IF(OR(F8="",H8=""),"",1.5*F8^2*H8)</x:f>
      </x:c>
      <x:c r="O8" s="51" t="str">
        <x:f>IF(OR(J8="",E8="",N8=""),"",(J8-E8)/N8)</x:f>
      </x:c>
      <x:c r="P8" s="32" t="str">
        <x:v>Pending</x:v>
      </x:c>
      <x:c r="Q8" s="32" t="str"/>
      <x:c r="R8" s="47" t="str">
        <x:v>Pending</x:v>
      </x:c>
    </x:row>
    <x:row r="9">
      <x:c r="A9" s="25" t="str">
        <x:v>T04</x:v>
      </x:c>
      <x:c r="B9" s="32" t="str"/>
      <x:c r="C9" s="32" t="str">
        <x:v>Rev62</x:v>
      </x:c>
      <x:c r="D9" s="32" t="str"/>
      <x:c r="E9" s="34" t="str"/>
      <x:c r="F9" s="34" t="str"/>
      <x:c r="G9" s="51" t="str">
        <x:f>IF(F9="","",F9/SQRT(2))</x:f>
      </x:c>
      <x:c r="H9" s="34" t="str"/>
      <x:c r="I9" s="51" t="str">
        <x:f>IF(OR(H9="",$B$34=""),"",20+((H9/$B$34)-1)/0.00393)</x:f>
      </x:c>
      <x:c r="J9" s="34" t="str"/>
      <x:c r="K9" s="34" t="str"/>
      <x:c r="L9" s="34" t="str"/>
      <x:c r="M9" s="34" t="str"/>
      <x:c r="N9" s="51" t="str">
        <x:f>IF(OR(F9="",H9=""),"",1.5*F9^2*H9)</x:f>
      </x:c>
      <x:c r="O9" s="51" t="str">
        <x:f>IF(OR(J9="",E9="",N9=""),"",(J9-E9)/N9)</x:f>
      </x:c>
      <x:c r="P9" s="32" t="str">
        <x:v>Pending</x:v>
      </x:c>
      <x:c r="Q9" s="32" t="str"/>
      <x:c r="R9" s="47" t="str">
        <x:v>Pending</x:v>
      </x:c>
    </x:row>
    <x:row r="10">
      <x:c r="A10" s="25" t="str">
        <x:v>T05</x:v>
      </x:c>
      <x:c r="B10" s="32" t="str"/>
      <x:c r="C10" s="32" t="str">
        <x:v>Rev62</x:v>
      </x:c>
      <x:c r="D10" s="32" t="str"/>
      <x:c r="E10" s="34" t="str"/>
      <x:c r="F10" s="34" t="str"/>
      <x:c r="G10" s="51" t="str">
        <x:f>IF(F10="","",F10/SQRT(2))</x:f>
      </x:c>
      <x:c r="H10" s="34" t="str"/>
      <x:c r="I10" s="51" t="str">
        <x:f>IF(OR(H10="",$B$34=""),"",20+((H10/$B$34)-1)/0.00393)</x:f>
      </x:c>
      <x:c r="J10" s="34" t="str"/>
      <x:c r="K10" s="34" t="str"/>
      <x:c r="L10" s="34" t="str"/>
      <x:c r="M10" s="34" t="str"/>
      <x:c r="N10" s="51" t="str">
        <x:f>IF(OR(F10="",H10=""),"",1.5*F10^2*H10)</x:f>
      </x:c>
      <x:c r="O10" s="51" t="str">
        <x:f>IF(OR(J10="",E10="",N10=""),"",(J10-E10)/N10)</x:f>
      </x:c>
      <x:c r="P10" s="32" t="str">
        <x:v>Pending</x:v>
      </x:c>
      <x:c r="Q10" s="32" t="str"/>
      <x:c r="R10" s="47" t="str">
        <x:v>Pending</x:v>
      </x:c>
    </x:row>
    <x:row r="11">
      <x:c r="A11" s="25" t="str">
        <x:v>T06</x:v>
      </x:c>
      <x:c r="B11" s="32" t="str"/>
      <x:c r="C11" s="32" t="str">
        <x:v>Rev62</x:v>
      </x:c>
      <x:c r="D11" s="32" t="str"/>
      <x:c r="E11" s="34" t="str"/>
      <x:c r="F11" s="34" t="str"/>
      <x:c r="G11" s="51" t="str">
        <x:f>IF(F11="","",F11/SQRT(2))</x:f>
      </x:c>
      <x:c r="H11" s="34" t="str"/>
      <x:c r="I11" s="51" t="str">
        <x:f>IF(OR(H11="",$B$34=""),"",20+((H11/$B$34)-1)/0.00393)</x:f>
      </x:c>
      <x:c r="J11" s="34" t="str"/>
      <x:c r="K11" s="34" t="str"/>
      <x:c r="L11" s="34" t="str"/>
      <x:c r="M11" s="34" t="str"/>
      <x:c r="N11" s="51" t="str">
        <x:f>IF(OR(F11="",H11=""),"",1.5*F11^2*H11)</x:f>
      </x:c>
      <x:c r="O11" s="51" t="str">
        <x:f>IF(OR(J11="",E11="",N11=""),"",(J11-E11)/N11)</x:f>
      </x:c>
      <x:c r="P11" s="32" t="str">
        <x:v>Pending</x:v>
      </x:c>
      <x:c r="Q11" s="32" t="str"/>
      <x:c r="R11" s="47" t="str">
        <x:v>Pending</x:v>
      </x:c>
    </x:row>
    <x:row r="12">
      <x:c r="A12" s="25" t="str">
        <x:v>T07</x:v>
      </x:c>
      <x:c r="B12" s="32" t="str"/>
      <x:c r="C12" s="32" t="str">
        <x:v>Rev62</x:v>
      </x:c>
      <x:c r="D12" s="32" t="str"/>
      <x:c r="E12" s="34" t="str"/>
      <x:c r="F12" s="34" t="str"/>
      <x:c r="G12" s="51" t="str">
        <x:f>IF(F12="","",F12/SQRT(2))</x:f>
      </x:c>
      <x:c r="H12" s="34" t="str"/>
      <x:c r="I12" s="51" t="str">
        <x:f>IF(OR(H12="",$B$34=""),"",20+((H12/$B$34)-1)/0.00393)</x:f>
      </x:c>
      <x:c r="J12" s="34" t="str"/>
      <x:c r="K12" s="34" t="str"/>
      <x:c r="L12" s="34" t="str"/>
      <x:c r="M12" s="34" t="str"/>
      <x:c r="N12" s="51" t="str">
        <x:f>IF(OR(F12="",H12=""),"",1.5*F12^2*H12)</x:f>
      </x:c>
      <x:c r="O12" s="51" t="str">
        <x:f>IF(OR(J12="",E12="",N12=""),"",(J12-E12)/N12)</x:f>
      </x:c>
      <x:c r="P12" s="32" t="str">
        <x:v>Pending</x:v>
      </x:c>
      <x:c r="Q12" s="32" t="str"/>
      <x:c r="R12" s="47" t="str">
        <x:v>Pending</x:v>
      </x:c>
    </x:row>
    <x:row r="13">
      <x:c r="A13" s="25" t="str">
        <x:v>T08</x:v>
      </x:c>
      <x:c r="B13" s="32" t="str"/>
      <x:c r="C13" s="32" t="str">
        <x:v>Rev62</x:v>
      </x:c>
      <x:c r="D13" s="32" t="str"/>
      <x:c r="E13" s="34" t="str"/>
      <x:c r="F13" s="34" t="str"/>
      <x:c r="G13" s="51" t="str">
        <x:f>IF(F13="","",F13/SQRT(2))</x:f>
      </x:c>
      <x:c r="H13" s="34" t="str"/>
      <x:c r="I13" s="51" t="str">
        <x:f>IF(OR(H13="",$B$34=""),"",20+((H13/$B$34)-1)/0.00393)</x:f>
      </x:c>
      <x:c r="J13" s="34" t="str"/>
      <x:c r="K13" s="34" t="str"/>
      <x:c r="L13" s="34" t="str"/>
      <x:c r="M13" s="34" t="str"/>
      <x:c r="N13" s="51" t="str">
        <x:f>IF(OR(F13="",H13=""),"",1.5*F13^2*H13)</x:f>
      </x:c>
      <x:c r="O13" s="51" t="str">
        <x:f>IF(OR(J13="",E13="",N13=""),"",(J13-E13)/N13)</x:f>
      </x:c>
      <x:c r="P13" s="32" t="str">
        <x:v>Pending</x:v>
      </x:c>
      <x:c r="Q13" s="32" t="str"/>
      <x:c r="R13" s="47" t="str">
        <x:v>Pending</x:v>
      </x:c>
    </x:row>
    <x:row r="14">
      <x:c r="A14" s="25" t="str">
        <x:v>T09</x:v>
      </x:c>
      <x:c r="B14" s="32" t="str"/>
      <x:c r="C14" s="32" t="str">
        <x:v>Rev62</x:v>
      </x:c>
      <x:c r="D14" s="32" t="str"/>
      <x:c r="E14" s="34" t="str"/>
      <x:c r="F14" s="34" t="str"/>
      <x:c r="G14" s="51" t="str">
        <x:f>IF(F14="","",F14/SQRT(2))</x:f>
      </x:c>
      <x:c r="H14" s="34" t="str"/>
      <x:c r="I14" s="51" t="str">
        <x:f>IF(OR(H14="",$B$34=""),"",20+((H14/$B$34)-1)/0.00393)</x:f>
      </x:c>
      <x:c r="J14" s="34" t="str"/>
      <x:c r="K14" s="34" t="str"/>
      <x:c r="L14" s="34" t="str"/>
      <x:c r="M14" s="34" t="str"/>
      <x:c r="N14" s="51" t="str">
        <x:f>IF(OR(F14="",H14=""),"",1.5*F14^2*H14)</x:f>
      </x:c>
      <x:c r="O14" s="51" t="str">
        <x:f>IF(OR(J14="",E14="",N14=""),"",(J14-E14)/N14)</x:f>
      </x:c>
      <x:c r="P14" s="32" t="str">
        <x:v>Pending</x:v>
      </x:c>
      <x:c r="Q14" s="32" t="str"/>
      <x:c r="R14" s="47" t="str">
        <x:v>Pending</x:v>
      </x:c>
    </x:row>
    <x:row r="15">
      <x:c r="A15" s="25" t="str">
        <x:v>T10</x:v>
      </x:c>
      <x:c r="B15" s="32" t="str"/>
      <x:c r="C15" s="32" t="str">
        <x:v>Rev62</x:v>
      </x:c>
      <x:c r="D15" s="32" t="str"/>
      <x:c r="E15" s="34" t="str"/>
      <x:c r="F15" s="34" t="str"/>
      <x:c r="G15" s="51" t="str">
        <x:f>IF(F15="","",F15/SQRT(2))</x:f>
      </x:c>
      <x:c r="H15" s="34" t="str"/>
      <x:c r="I15" s="51" t="str">
        <x:f>IF(OR(H15="",$B$34=""),"",20+((H15/$B$34)-1)/0.00393)</x:f>
      </x:c>
      <x:c r="J15" s="34" t="str"/>
      <x:c r="K15" s="34" t="str"/>
      <x:c r="L15" s="34" t="str"/>
      <x:c r="M15" s="34" t="str"/>
      <x:c r="N15" s="51" t="str">
        <x:f>IF(OR(F15="",H15=""),"",1.5*F15^2*H15)</x:f>
      </x:c>
      <x:c r="O15" s="51" t="str">
        <x:f>IF(OR(J15="",E15="",N15=""),"",(J15-E15)/N15)</x:f>
      </x:c>
      <x:c r="P15" s="32" t="str">
        <x:v>Pending</x:v>
      </x:c>
      <x:c r="Q15" s="32" t="str"/>
      <x:c r="R15" s="47" t="str">
        <x:v>Pending</x:v>
      </x:c>
    </x:row>
    <x:row r="16">
      <x:c r="A16" s="25" t="str">
        <x:v>T11</x:v>
      </x:c>
      <x:c r="B16" s="32" t="str"/>
      <x:c r="C16" s="32" t="str">
        <x:v>Rev62</x:v>
      </x:c>
      <x:c r="D16" s="32" t="str"/>
      <x:c r="E16" s="34" t="str"/>
      <x:c r="F16" s="34" t="str"/>
      <x:c r="G16" s="51" t="str">
        <x:f>IF(F16="","",F16/SQRT(2))</x:f>
      </x:c>
      <x:c r="H16" s="34" t="str"/>
      <x:c r="I16" s="51" t="str">
        <x:f>IF(OR(H16="",$B$34=""),"",20+((H16/$B$34)-1)/0.00393)</x:f>
      </x:c>
      <x:c r="J16" s="34" t="str"/>
      <x:c r="K16" s="34" t="str"/>
      <x:c r="L16" s="34" t="str"/>
      <x:c r="M16" s="34" t="str"/>
      <x:c r="N16" s="51" t="str">
        <x:f>IF(OR(F16="",H16=""),"",1.5*F16^2*H16)</x:f>
      </x:c>
      <x:c r="O16" s="51" t="str">
        <x:f>IF(OR(J16="",E16="",N16=""),"",(J16-E16)/N16)</x:f>
      </x:c>
      <x:c r="P16" s="32" t="str">
        <x:v>Pending</x:v>
      </x:c>
      <x:c r="Q16" s="32" t="str"/>
      <x:c r="R16" s="47" t="str">
        <x:v>Pending</x:v>
      </x:c>
    </x:row>
    <x:row r="17">
      <x:c r="A17" s="25" t="str">
        <x:v>T12</x:v>
      </x:c>
      <x:c r="B17" s="32" t="str"/>
      <x:c r="C17" s="32" t="str">
        <x:v>Rev62</x:v>
      </x:c>
      <x:c r="D17" s="32" t="str"/>
      <x:c r="E17" s="34" t="str"/>
      <x:c r="F17" s="34" t="str"/>
      <x:c r="G17" s="51" t="str">
        <x:f>IF(F17="","",F17/SQRT(2))</x:f>
      </x:c>
      <x:c r="H17" s="34" t="str"/>
      <x:c r="I17" s="51" t="str">
        <x:f>IF(OR(H17="",$B$34=""),"",20+((H17/$B$34)-1)/0.00393)</x:f>
      </x:c>
      <x:c r="J17" s="34" t="str"/>
      <x:c r="K17" s="34" t="str"/>
      <x:c r="L17" s="34" t="str"/>
      <x:c r="M17" s="34" t="str"/>
      <x:c r="N17" s="51" t="str">
        <x:f>IF(OR(F17="",H17=""),"",1.5*F17^2*H17)</x:f>
      </x:c>
      <x:c r="O17" s="51" t="str">
        <x:f>IF(OR(J17="",E17="",N17=""),"",(J17-E17)/N17)</x:f>
      </x:c>
      <x:c r="P17" s="32" t="str">
        <x:v>Pending</x:v>
      </x:c>
      <x:c r="Q17" s="32" t="str"/>
      <x:c r="R17" s="47" t="str">
        <x:v>Pending</x:v>
      </x:c>
    </x:row>
    <x:row r="18">
      <x:c r="A18" s="25" t="str">
        <x:v>T13</x:v>
      </x:c>
      <x:c r="B18" s="32" t="str"/>
      <x:c r="C18" s="32" t="str">
        <x:v>Rev62</x:v>
      </x:c>
      <x:c r="D18" s="32" t="str"/>
      <x:c r="E18" s="34" t="str"/>
      <x:c r="F18" s="34" t="str"/>
      <x:c r="G18" s="51" t="str">
        <x:f>IF(F18="","",F18/SQRT(2))</x:f>
      </x:c>
      <x:c r="H18" s="34" t="str"/>
      <x:c r="I18" s="51" t="str">
        <x:f>IF(OR(H18="",$B$34=""),"",20+((H18/$B$34)-1)/0.00393)</x:f>
      </x:c>
      <x:c r="J18" s="34" t="str"/>
      <x:c r="K18" s="34" t="str"/>
      <x:c r="L18" s="34" t="str"/>
      <x:c r="M18" s="34" t="str"/>
      <x:c r="N18" s="51" t="str">
        <x:f>IF(OR(F18="",H18=""),"",1.5*F18^2*H18)</x:f>
      </x:c>
      <x:c r="O18" s="51" t="str">
        <x:f>IF(OR(J18="",E18="",N18=""),"",(J18-E18)/N18)</x:f>
      </x:c>
      <x:c r="P18" s="32" t="str">
        <x:v>Pending</x:v>
      </x:c>
      <x:c r="Q18" s="32" t="str"/>
      <x:c r="R18" s="47" t="str">
        <x:v>Pending</x:v>
      </x:c>
    </x:row>
    <x:row r="19">
      <x:c r="A19" s="25" t="str">
        <x:v>T14</x:v>
      </x:c>
      <x:c r="B19" s="32" t="str"/>
      <x:c r="C19" s="32" t="str">
        <x:v>Rev62</x:v>
      </x:c>
      <x:c r="D19" s="32" t="str"/>
      <x:c r="E19" s="34" t="str"/>
      <x:c r="F19" s="34" t="str"/>
      <x:c r="G19" s="51" t="str">
        <x:f>IF(F19="","",F19/SQRT(2))</x:f>
      </x:c>
      <x:c r="H19" s="34" t="str"/>
      <x:c r="I19" s="51" t="str">
        <x:f>IF(OR(H19="",$B$34=""),"",20+((H19/$B$34)-1)/0.00393)</x:f>
      </x:c>
      <x:c r="J19" s="34" t="str"/>
      <x:c r="K19" s="34" t="str"/>
      <x:c r="L19" s="34" t="str"/>
      <x:c r="M19" s="34" t="str"/>
      <x:c r="N19" s="51" t="str">
        <x:f>IF(OR(F19="",H19=""),"",1.5*F19^2*H19)</x:f>
      </x:c>
      <x:c r="O19" s="51" t="str">
        <x:f>IF(OR(J19="",E19="",N19=""),"",(J19-E19)/N19)</x:f>
      </x:c>
      <x:c r="P19" s="32" t="str">
        <x:v>Pending</x:v>
      </x:c>
      <x:c r="Q19" s="32" t="str"/>
      <x:c r="R19" s="47" t="str">
        <x:v>Pending</x:v>
      </x:c>
    </x:row>
    <x:row r="20">
      <x:c r="A20" s="25" t="str">
        <x:v>T15</x:v>
      </x:c>
      <x:c r="B20" s="32" t="str"/>
      <x:c r="C20" s="32" t="str">
        <x:v>Rev62</x:v>
      </x:c>
      <x:c r="D20" s="32" t="str"/>
      <x:c r="E20" s="34" t="str"/>
      <x:c r="F20" s="34" t="str"/>
      <x:c r="G20" s="51" t="str">
        <x:f>IF(F20="","",F20/SQRT(2))</x:f>
      </x:c>
      <x:c r="H20" s="34" t="str"/>
      <x:c r="I20" s="51" t="str">
        <x:f>IF(OR(H20="",$B$34=""),"",20+((H20/$B$34)-1)/0.00393)</x:f>
      </x:c>
      <x:c r="J20" s="34" t="str"/>
      <x:c r="K20" s="34" t="str"/>
      <x:c r="L20" s="34" t="str"/>
      <x:c r="M20" s="34" t="str"/>
      <x:c r="N20" s="51" t="str">
        <x:f>IF(OR(F20="",H20=""),"",1.5*F20^2*H20)</x:f>
      </x:c>
      <x:c r="O20" s="51" t="str">
        <x:f>IF(OR(J20="",E20="",N20=""),"",(J20-E20)/N20)</x:f>
      </x:c>
      <x:c r="P20" s="32" t="str">
        <x:v>Pending</x:v>
      </x:c>
      <x:c r="Q20" s="32" t="str"/>
      <x:c r="R20" s="47" t="str">
        <x:v>Pending</x:v>
      </x:c>
    </x:row>
    <x:row r="21">
      <x:c r="A21" s="25" t="str">
        <x:v>T16</x:v>
      </x:c>
      <x:c r="B21" s="32" t="str"/>
      <x:c r="C21" s="32" t="str">
        <x:v>Rev62</x:v>
      </x:c>
      <x:c r="D21" s="32" t="str"/>
      <x:c r="E21" s="34" t="str"/>
      <x:c r="F21" s="34" t="str"/>
      <x:c r="G21" s="51" t="str">
        <x:f>IF(F21="","",F21/SQRT(2))</x:f>
      </x:c>
      <x:c r="H21" s="34" t="str"/>
      <x:c r="I21" s="51" t="str">
        <x:f>IF(OR(H21="",$B$34=""),"",20+((H21/$B$34)-1)/0.00393)</x:f>
      </x:c>
      <x:c r="J21" s="34" t="str"/>
      <x:c r="K21" s="34" t="str"/>
      <x:c r="L21" s="34" t="str"/>
      <x:c r="M21" s="34" t="str"/>
      <x:c r="N21" s="51" t="str">
        <x:f>IF(OR(F21="",H21=""),"",1.5*F21^2*H21)</x:f>
      </x:c>
      <x:c r="O21" s="51" t="str">
        <x:f>IF(OR(J21="",E21="",N21=""),"",(J21-E21)/N21)</x:f>
      </x:c>
      <x:c r="P21" s="32" t="str">
        <x:v>Pending</x:v>
      </x:c>
      <x:c r="Q21" s="32" t="str"/>
      <x:c r="R21" s="47" t="str">
        <x:v>Pending</x:v>
      </x:c>
    </x:row>
    <x:row r="22">
      <x:c r="A22" s="25" t="str">
        <x:v>T17</x:v>
      </x:c>
      <x:c r="B22" s="32" t="str"/>
      <x:c r="C22" s="32" t="str">
        <x:v>Rev62</x:v>
      </x:c>
      <x:c r="D22" s="32" t="str"/>
      <x:c r="E22" s="34" t="str"/>
      <x:c r="F22" s="34" t="str"/>
      <x:c r="G22" s="51" t="str">
        <x:f>IF(F22="","",F22/SQRT(2))</x:f>
      </x:c>
      <x:c r="H22" s="34" t="str"/>
      <x:c r="I22" s="51" t="str">
        <x:f>IF(OR(H22="",$B$34=""),"",20+((H22/$B$34)-1)/0.00393)</x:f>
      </x:c>
      <x:c r="J22" s="34" t="str"/>
      <x:c r="K22" s="34" t="str"/>
      <x:c r="L22" s="34" t="str"/>
      <x:c r="M22" s="34" t="str"/>
      <x:c r="N22" s="51" t="str">
        <x:f>IF(OR(F22="",H22=""),"",1.5*F22^2*H22)</x:f>
      </x:c>
      <x:c r="O22" s="51" t="str">
        <x:f>IF(OR(J22="",E22="",N22=""),"",(J22-E22)/N22)</x:f>
      </x:c>
      <x:c r="P22" s="32" t="str">
        <x:v>Pending</x:v>
      </x:c>
      <x:c r="Q22" s="32" t="str"/>
      <x:c r="R22" s="47" t="str">
        <x:v>Pending</x:v>
      </x:c>
    </x:row>
    <x:row r="23">
      <x:c r="A23" s="25" t="str">
        <x:v>T18</x:v>
      </x:c>
      <x:c r="B23" s="32" t="str"/>
      <x:c r="C23" s="32" t="str">
        <x:v>Rev62</x:v>
      </x:c>
      <x:c r="D23" s="32" t="str"/>
      <x:c r="E23" s="34" t="str"/>
      <x:c r="F23" s="34" t="str"/>
      <x:c r="G23" s="51" t="str">
        <x:f>IF(F23="","",F23/SQRT(2))</x:f>
      </x:c>
      <x:c r="H23" s="34" t="str"/>
      <x:c r="I23" s="51" t="str">
        <x:f>IF(OR(H23="",$B$34=""),"",20+((H23/$B$34)-1)/0.00393)</x:f>
      </x:c>
      <x:c r="J23" s="34" t="str"/>
      <x:c r="K23" s="34" t="str"/>
      <x:c r="L23" s="34" t="str"/>
      <x:c r="M23" s="34" t="str"/>
      <x:c r="N23" s="51" t="str">
        <x:f>IF(OR(F23="",H23=""),"",1.5*F23^2*H23)</x:f>
      </x:c>
      <x:c r="O23" s="51" t="str">
        <x:f>IF(OR(J23="",E23="",N23=""),"",(J23-E23)/N23)</x:f>
      </x:c>
      <x:c r="P23" s="32" t="str">
        <x:v>Pending</x:v>
      </x:c>
      <x:c r="Q23" s="32" t="str"/>
      <x:c r="R23" s="47" t="str">
        <x:v>Pending</x:v>
      </x:c>
    </x:row>
    <x:row r="24">
      <x:c r="A24" s="25" t="str">
        <x:v>T19</x:v>
      </x:c>
      <x:c r="B24" s="32" t="str"/>
      <x:c r="C24" s="32" t="str">
        <x:v>Rev62</x:v>
      </x:c>
      <x:c r="D24" s="32" t="str"/>
      <x:c r="E24" s="34" t="str"/>
      <x:c r="F24" s="34" t="str"/>
      <x:c r="G24" s="51" t="str">
        <x:f>IF(F24="","",F24/SQRT(2))</x:f>
      </x:c>
      <x:c r="H24" s="34" t="str"/>
      <x:c r="I24" s="51" t="str">
        <x:f>IF(OR(H24="",$B$34=""),"",20+((H24/$B$34)-1)/0.00393)</x:f>
      </x:c>
      <x:c r="J24" s="34" t="str"/>
      <x:c r="K24" s="34" t="str"/>
      <x:c r="L24" s="34" t="str"/>
      <x:c r="M24" s="34" t="str"/>
      <x:c r="N24" s="51" t="str">
        <x:f>IF(OR(F24="",H24=""),"",1.5*F24^2*H24)</x:f>
      </x:c>
      <x:c r="O24" s="51" t="str">
        <x:f>IF(OR(J24="",E24="",N24=""),"",(J24-E24)/N24)</x:f>
      </x:c>
      <x:c r="P24" s="32" t="str">
        <x:v>Pending</x:v>
      </x:c>
      <x:c r="Q24" s="32" t="str"/>
      <x:c r="R24" s="47" t="str">
        <x:v>Pending</x:v>
      </x:c>
    </x:row>
    <x:row r="25">
      <x:c r="A25" s="25" t="str">
        <x:v>T20</x:v>
      </x:c>
      <x:c r="B25" s="32" t="str"/>
      <x:c r="C25" s="32" t="str">
        <x:v>Rev62</x:v>
      </x:c>
      <x:c r="D25" s="32" t="str"/>
      <x:c r="E25" s="34" t="str"/>
      <x:c r="F25" s="34" t="str"/>
      <x:c r="G25" s="51" t="str">
        <x:f>IF(F25="","",F25/SQRT(2))</x:f>
      </x:c>
      <x:c r="H25" s="34" t="str"/>
      <x:c r="I25" s="51" t="str">
        <x:f>IF(OR(H25="",$B$34=""),"",20+((H25/$B$34)-1)/0.00393)</x:f>
      </x:c>
      <x:c r="J25" s="34" t="str"/>
      <x:c r="K25" s="34" t="str"/>
      <x:c r="L25" s="34" t="str"/>
      <x:c r="M25" s="34" t="str"/>
      <x:c r="N25" s="51" t="str">
        <x:f>IF(OR(F25="",H25=""),"",1.5*F25^2*H25)</x:f>
      </x:c>
      <x:c r="O25" s="51" t="str">
        <x:f>IF(OR(J25="",E25="",N25=""),"",(J25-E25)/N25)</x:f>
      </x:c>
      <x:c r="P25" s="32" t="str">
        <x:v>Pending</x:v>
      </x:c>
      <x:c r="Q25" s="32" t="str"/>
      <x:c r="R25" s="47" t="str">
        <x:v>Pending</x:v>
      </x:c>
    </x:row>
    <x:row r="26">
      <x:c r="A26" s="25" t="str">
        <x:v>T21</x:v>
      </x:c>
      <x:c r="B26" s="32" t="str"/>
      <x:c r="C26" s="32" t="str">
        <x:v>Rev62</x:v>
      </x:c>
      <x:c r="D26" s="32" t="str"/>
      <x:c r="E26" s="34" t="str"/>
      <x:c r="F26" s="34" t="str"/>
      <x:c r="G26" s="51" t="str">
        <x:f>IF(F26="","",F26/SQRT(2))</x:f>
      </x:c>
      <x:c r="H26" s="34" t="str"/>
      <x:c r="I26" s="51" t="str">
        <x:f>IF(OR(H26="",$B$34=""),"",20+((H26/$B$34)-1)/0.00393)</x:f>
      </x:c>
      <x:c r="J26" s="34" t="str"/>
      <x:c r="K26" s="34" t="str"/>
      <x:c r="L26" s="34" t="str"/>
      <x:c r="M26" s="34" t="str"/>
      <x:c r="N26" s="51" t="str">
        <x:f>IF(OR(F26="",H26=""),"",1.5*F26^2*H26)</x:f>
      </x:c>
      <x:c r="O26" s="51" t="str">
        <x:f>IF(OR(J26="",E26="",N26=""),"",(J26-E26)/N26)</x:f>
      </x:c>
      <x:c r="P26" s="32" t="str">
        <x:v>Pending</x:v>
      </x:c>
      <x:c r="Q26" s="32" t="str"/>
      <x:c r="R26" s="47" t="str">
        <x:v>Pending</x:v>
      </x:c>
    </x:row>
    <x:row r="27">
      <x:c r="A27" s="25" t="str">
        <x:v>T22</x:v>
      </x:c>
      <x:c r="B27" s="32" t="str"/>
      <x:c r="C27" s="32" t="str">
        <x:v>Rev62</x:v>
      </x:c>
      <x:c r="D27" s="32" t="str"/>
      <x:c r="E27" s="34" t="str"/>
      <x:c r="F27" s="34" t="str"/>
      <x:c r="G27" s="51" t="str">
        <x:f>IF(F27="","",F27/SQRT(2))</x:f>
      </x:c>
      <x:c r="H27" s="34" t="str"/>
      <x:c r="I27" s="51" t="str">
        <x:f>IF(OR(H27="",$B$34=""),"",20+((H27/$B$34)-1)/0.00393)</x:f>
      </x:c>
      <x:c r="J27" s="34" t="str"/>
      <x:c r="K27" s="34" t="str"/>
      <x:c r="L27" s="34" t="str"/>
      <x:c r="M27" s="34" t="str"/>
      <x:c r="N27" s="51" t="str">
        <x:f>IF(OR(F27="",H27=""),"",1.5*F27^2*H27)</x:f>
      </x:c>
      <x:c r="O27" s="51" t="str">
        <x:f>IF(OR(J27="",E27="",N27=""),"",(J27-E27)/N27)</x:f>
      </x:c>
      <x:c r="P27" s="32" t="str">
        <x:v>Pending</x:v>
      </x:c>
      <x:c r="Q27" s="32" t="str"/>
      <x:c r="R27" s="47" t="str">
        <x:v>Pending</x:v>
      </x:c>
    </x:row>
    <x:row r="28">
      <x:c r="A28" s="25" t="str">
        <x:v>T23</x:v>
      </x:c>
      <x:c r="B28" s="32" t="str"/>
      <x:c r="C28" s="32" t="str">
        <x:v>Rev62</x:v>
      </x:c>
      <x:c r="D28" s="32" t="str"/>
      <x:c r="E28" s="34" t="str"/>
      <x:c r="F28" s="34" t="str"/>
      <x:c r="G28" s="51" t="str">
        <x:f>IF(F28="","",F28/SQRT(2))</x:f>
      </x:c>
      <x:c r="H28" s="34" t="str"/>
      <x:c r="I28" s="51" t="str">
        <x:f>IF(OR(H28="",$B$34=""),"",20+((H28/$B$34)-1)/0.00393)</x:f>
      </x:c>
      <x:c r="J28" s="34" t="str"/>
      <x:c r="K28" s="34" t="str"/>
      <x:c r="L28" s="34" t="str"/>
      <x:c r="M28" s="34" t="str"/>
      <x:c r="N28" s="51" t="str">
        <x:f>IF(OR(F28="",H28=""),"",1.5*F28^2*H28)</x:f>
      </x:c>
      <x:c r="O28" s="51" t="str">
        <x:f>IF(OR(J28="",E28="",N28=""),"",(J28-E28)/N28)</x:f>
      </x:c>
      <x:c r="P28" s="32" t="str">
        <x:v>Pending</x:v>
      </x:c>
      <x:c r="Q28" s="32" t="str"/>
      <x:c r="R28" s="47" t="str">
        <x:v>Pending</x:v>
      </x:c>
    </x:row>
    <x:row r="29">
      <x:c r="A29" s="25" t="str">
        <x:v>T24</x:v>
      </x:c>
      <x:c r="B29" s="32" t="str"/>
      <x:c r="C29" s="32" t="str">
        <x:v>Rev62</x:v>
      </x:c>
      <x:c r="D29" s="32" t="str"/>
      <x:c r="E29" s="34" t="str"/>
      <x:c r="F29" s="34" t="str"/>
      <x:c r="G29" s="51" t="str">
        <x:f>IF(F29="","",F29/SQRT(2))</x:f>
      </x:c>
      <x:c r="H29" s="34" t="str"/>
      <x:c r="I29" s="51" t="str">
        <x:f>IF(OR(H29="",$B$34=""),"",20+((H29/$B$34)-1)/0.00393)</x:f>
      </x:c>
      <x:c r="J29" s="34" t="str"/>
      <x:c r="K29" s="34" t="str"/>
      <x:c r="L29" s="34" t="str"/>
      <x:c r="M29" s="34" t="str"/>
      <x:c r="N29" s="51" t="str">
        <x:f>IF(OR(F29="",H29=""),"",1.5*F29^2*H29)</x:f>
      </x:c>
      <x:c r="O29" s="51" t="str">
        <x:f>IF(OR(J29="",E29="",N29=""),"",(J29-E29)/N29)</x:f>
      </x:c>
      <x:c r="P29" s="32" t="str">
        <x:v>Pending</x:v>
      </x:c>
      <x:c r="Q29" s="32" t="str"/>
      <x:c r="R29" s="47" t="str">
        <x:v>Pending</x:v>
      </x:c>
    </x:row>
    <x:row r="30">
      <x:c r="A30" s="28" t="str">
        <x:v>T25</x:v>
      </x:c>
      <x:c r="B30" s="33" t="str"/>
      <x:c r="C30" s="33" t="str">
        <x:v>Rev62</x:v>
      </x:c>
      <x:c r="D30" s="33" t="str"/>
      <x:c r="E30" s="52" t="str"/>
      <x:c r="F30" s="52" t="str"/>
      <x:c r="G30" s="53" t="str">
        <x:f>IF(F30="","",F30/SQRT(2))</x:f>
      </x:c>
      <x:c r="H30" s="52" t="str"/>
      <x:c r="I30" s="53" t="str">
        <x:f>IF(OR(H30="",$B$34=""),"",20+((H30/$B$34)-1)/0.00393)</x:f>
      </x:c>
      <x:c r="J30" s="52" t="str"/>
      <x:c r="K30" s="52" t="str"/>
      <x:c r="L30" s="52" t="str"/>
      <x:c r="M30" s="52" t="str"/>
      <x:c r="N30" s="53" t="str">
        <x:f>IF(OR(F30="",H30=""),"",1.5*F30^2*H30)</x:f>
      </x:c>
      <x:c r="O30" s="53" t="str">
        <x:f>IF(OR(J30="",E30="",N30=""),"",(J30-E30)/N30)</x:f>
      </x:c>
      <x:c r="P30" s="33" t="str">
        <x:v>Pending</x:v>
      </x:c>
      <x:c r="Q30" s="33" t="str"/>
      <x:c r="R30" s="48" t="str">
        <x:v>Pending</x:v>
      </x:c>
    </x:row>
    <x:row r="33">
      <x:c r="A33" s="16" t="str">
        <x:v>Thermal reference</x:v>
      </x:c>
      <x:c r="B33" s="18" t="str">
        <x:v>Value</x:v>
      </x:c>
    </x:row>
    <x:row r="34">
      <x:c r="A34" s="22" t="str">
        <x:v>Estimated phase R20 (Ω)</x:v>
      </x:c>
      <x:c r="B34" s="46" t="n">
        <x:v>2.63</x:v>
      </x:c>
    </x:row>
    <x:row r="35">
      <x:c r="A35" s="25" t="str">
        <x:v>Copper temperature limit (°C)</x:v>
      </x:c>
      <x:c r="B35" s="47" t="n">
        <x:v>120</x:v>
      </x:c>
    </x:row>
    <x:row r="36">
      <x:c r="A36" s="28" t="str">
        <x:v>Steady-state criterion</x:v>
      </x:c>
      <x:c r="B36" s="30" t="str">
        <x:v>&lt;1 °C rise over 10 min</x:v>
      </x:c>
    </x:row>
  </x:sheetData>
  <x:mergeCells>
    <x:mergeCell ref="A1:R1"/>
    <x:mergeCell ref="A2:R2"/>
  </x:mergeCells>
  <x:conditionalFormatting sqref="R6:R30">
    <x:cfRule type="containsText" dxfId="4" priority="1" operator="containsText" text="Pass"/>
    <x:cfRule type="containsText" dxfId="5" priority="2" operator="containsText" text="Fail"/>
  </x:conditionalFormatting>
  <x:dataValidations count="2">
    <x:dataValidation type="list" sqref="P6:P30">
      <x:formula1>"Pending,Yes,No"</x:formula1>
    </x:dataValidation>
    <x:dataValidation type="list" sqref="R6:R30">
      <x:formula1>"Pending,Pass,Fail,Stopped"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2" hidden="0" customWidth="1"/>
    <x:col min="16" max="16" width="15" hidden="0" customWidth="1"/>
    <x:col min="17" max="17" width="15" hidden="0" customWidth="1"/>
  </x:cols>
  <x:sheetData>
    <x:row r="1">
      <x:c r="A1" s="1" t="str">
        <x:v>Rev62 force and travel validation</x:v>
      </x:c>
    </x:row>
    <x:row r="2">
      <x:c r="A2" s="3" t="str">
        <x:v>Force targets are FEMM values. Record the applied phase-peak scale and load-cell calibration used for each run.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5">
      <x:c r="A5" s="16" t="str">
        <x:v>Test ID</x:v>
      </x:c>
      <x:c r="B5" s="17" t="str">
        <x:v>Date</x:v>
      </x:c>
      <x:c r="C5" s="17" t="str">
        <x:v>Position target mm</x:v>
      </x:c>
      <x:c r="D5" s="17" t="str">
        <x:v>Encoder actual mm</x:v>
      </x:c>
      <x:c r="E5" s="17" t="str">
        <x:v>IA unit</x:v>
      </x:c>
      <x:c r="F5" s="17" t="str">
        <x:v>IB unit</x:v>
      </x:c>
      <x:c r="G5" s="17" t="str">
        <x:v>IC unit</x:v>
      </x:c>
      <x:c r="H5" s="17" t="str">
        <x:v>Phase peak A</x:v>
      </x:c>
      <x:c r="I5" s="17" t="str">
        <x:v>F+ N</x:v>
      </x:c>
      <x:c r="J5" s="17" t="str">
        <x:v>F- N</x:v>
      </x:c>
      <x:c r="K5" s="17" t="str">
        <x:v>PM odd force N</x:v>
      </x:c>
      <x:c r="L5" s="17" t="str">
        <x:v>Even force N</x:v>
      </x:c>
      <x:c r="M5" s="17" t="str">
        <x:v>FEMM target N</x:v>
      </x:c>
      <x:c r="N5" s="17" t="str">
        <x:v>Error %</x:v>
      </x:c>
      <x:c r="O5" s="17" t="str">
        <x:v>Load-cell calibration</x:v>
      </x:c>
      <x:c r="P5" s="17" t="str">
        <x:v>Travel limit check</x:v>
      </x:c>
      <x:c r="Q5" s="18" t="str">
        <x:v>Result</x:v>
      </x:c>
    </x:row>
    <x:row r="6">
      <x:c r="A6" s="22" t="str">
        <x:v>F01</x:v>
      </x:c>
      <x:c r="B6" s="31" t="str"/>
      <x:c r="C6" s="31" t="n">
        <x:v>-20</x:v>
      </x:c>
      <x:c r="D6" s="31" t="str"/>
      <x:c r="E6" s="31" t="n">
        <x:v>-0.5373059453</x:v>
      </x:c>
      <x:c r="F6" s="31" t="n">
        <x:v>-0.4617419485</x:v>
      </x:c>
      <x:c r="G6" s="31" t="n">
        <x:v>0.9990478938</x:v>
      </x:c>
      <x:c r="H6" s="31" t="n">
        <x:v>0.1</x:v>
      </x:c>
      <x:c r="I6" s="31" t="str"/>
      <x:c r="J6" s="31" t="str"/>
      <x:c r="K6" s="23" t="str">
        <x:f>IF(OR(I6="",J6=""),"",(I6-J6)/2)</x:f>
      </x:c>
      <x:c r="L6" s="23" t="str">
        <x:f>IF(OR(I6="",J6=""),"",(I6+J6)/2)</x:f>
      </x:c>
      <x:c r="M6" s="31" t="n">
        <x:v>0.3093629933</x:v>
      </x:c>
      <x:c r="N6" s="23" t="str">
        <x:f>IF(OR(K6="",M6=""),"",(K6-M6)/M6)</x:f>
      </x:c>
      <x:c r="O6" s="31" t="str"/>
      <x:c r="P6" s="31" t="str">
        <x:v>Pending</x:v>
      </x:c>
      <x:c r="Q6" s="46" t="str">
        <x:v>Pending</x:v>
      </x:c>
    </x:row>
    <x:row r="7">
      <x:c r="A7" s="25" t="str">
        <x:v>F02</x:v>
      </x:c>
      <x:c r="B7" s="32" t="str"/>
      <x:c r="C7" s="32" t="n">
        <x:v>0</x:v>
      </x:c>
      <x:c r="D7" s="32" t="str"/>
      <x:c r="E7" s="32" t="n">
        <x:v>0.5015468603</x:v>
      </x:c>
      <x:c r="F7" s="32" t="n">
        <x:v>-0.9999984032</x:v>
      </x:c>
      <x:c r="G7" s="32" t="n">
        <x:v>0.4984515429</x:v>
      </x:c>
      <x:c r="H7" s="32" t="n">
        <x:v>0.1</x:v>
      </x:c>
      <x:c r="I7" s="32" t="str"/>
      <x:c r="J7" s="32" t="str"/>
      <x:c r="K7" s="26" t="str">
        <x:f>IF(OR(I7="",J7=""),"",(I7-J7)/2)</x:f>
      </x:c>
      <x:c r="L7" s="26" t="str">
        <x:f>IF(OR(I7="",J7=""),"",(I7+J7)/2)</x:f>
      </x:c>
      <x:c r="M7" s="32" t="n">
        <x:v>0.3050900371</x:v>
      </x:c>
      <x:c r="N7" s="26" t="str">
        <x:f>IF(OR(K7="",M7=""),"",(K7-M7)/M7)</x:f>
      </x:c>
      <x:c r="O7" s="32" t="str"/>
      <x:c r="P7" s="32" t="str">
        <x:v>Pending</x:v>
      </x:c>
      <x:c r="Q7" s="47" t="str">
        <x:v>Pending</x:v>
      </x:c>
    </x:row>
    <x:row r="8">
      <x:c r="A8" s="28" t="str">
        <x:v>F03</x:v>
      </x:c>
      <x:c r="B8" s="33" t="str"/>
      <x:c r="C8" s="33" t="n">
        <x:v>20</x:v>
      </x:c>
      <x:c r="D8" s="33" t="str"/>
      <x:c r="E8" s="33" t="n">
        <x:v>0.998942741</x:v>
      </x:c>
      <x:c r="F8" s="33" t="n">
        <x:v>-0.4596586816</x:v>
      </x:c>
      <x:c r="G8" s="33" t="n">
        <x:v>-0.5392840594</x:v>
      </x:c>
      <x:c r="H8" s="33" t="n">
        <x:v>0.1</x:v>
      </x:c>
      <x:c r="I8" s="33" t="str"/>
      <x:c r="J8" s="33" t="str"/>
      <x:c r="K8" s="29" t="str">
        <x:f>IF(OR(I8="",J8=""),"",(I8-J8)/2)</x:f>
      </x:c>
      <x:c r="L8" s="29" t="str">
        <x:f>IF(OR(I8="",J8=""),"",(I8+J8)/2)</x:f>
      </x:c>
      <x:c r="M8" s="33" t="n">
        <x:v>0.3090534289</x:v>
      </x:c>
      <x:c r="N8" s="29" t="str">
        <x:f>IF(OR(K8="",M8=""),"",(K8-M8)/M8)</x:f>
      </x:c>
      <x:c r="O8" s="33" t="str"/>
      <x:c r="P8" s="33" t="str">
        <x:v>Pending</x:v>
      </x:c>
      <x:c r="Q8" s="48" t="str">
        <x:v>Pending</x:v>
      </x:c>
    </x:row>
    <x:row r="11">
      <x:c r="A11" s="39" t="str">
        <x:v>Initial encoder soft limits: −18 mm to +18 mm relative to magnetic centre. Expand only after repeatability and end-margin checks.</x:v>
      </x:c>
    </x:row>
  </x:sheetData>
  <x:mergeCells>
    <x:mergeCell ref="A1:Q1"/>
    <x:mergeCell ref="A2:Q2"/>
    <x:mergeCell ref="A11:G11"/>
  </x:mergeCells>
  <x:conditionalFormatting sqref="P6:Q8">
    <x:cfRule type="containsText" dxfId="6" priority="1" operator="containsText" text="Pass"/>
    <x:cfRule type="containsText" dxfId="7" priority="2" operator="containsText" text="Fail"/>
  </x:conditionalFormatting>
  <x:dataValidations count="2">
    <x:dataValidation type="list" sqref="P6:P8">
      <x:formula1>"Pending,Pass,Fail"</x:formula1>
    </x:dataValidation>
    <x:dataValidation type="list" sqref="Q6:Q8">
      <x:formula1>"Pending,Pass,Fail"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" t="str">
        <x:v>Rev62 release checklist</x:v>
      </x:c>
    </x:row>
    <x:row r="2">
      <x:c r="A2" s="3" t="str">
        <x:v>Complete this sheet only after the raw build, thermal, and force records are attached to the same Build ID.</x:v>
      </x:c>
    </x:row>
    <x:row r="3">
      <x:c r="A3" s="4"/>
      <x:c r="B3" s="4"/>
      <x:c r="C3" s="4"/>
      <x:c r="D3" s="4"/>
      <x:c r="E3" s="4"/>
      <x:c r="F3" s="4"/>
    </x:row>
    <x:row r="5">
      <x:c r="A5" s="16" t="str">
        <x:v>Gate</x:v>
      </x:c>
      <x:c r="B5" s="17" t="str">
        <x:v>Requirement</x:v>
      </x:c>
      <x:c r="C5" s="17" t="str">
        <x:v>Evidence / run ID</x:v>
      </x:c>
      <x:c r="D5" s="17" t="str">
        <x:v>Owner</x:v>
      </x:c>
      <x:c r="E5" s="17" t="str">
        <x:v>Date</x:v>
      </x:c>
      <x:c r="F5" s="18" t="str">
        <x:v>Disposition</x:v>
      </x:c>
    </x:row>
    <x:row r="6">
      <x:c r="A6" s="22" t="str">
        <x:v>Wire fit</x:v>
      </x:c>
      <x:c r="B6" s="23" t="str">
        <x:v>80-turn trial coil meets geometry and insulation requirements</x:v>
      </x:c>
      <x:c r="C6" s="31" t="str"/>
      <x:c r="D6" s="31" t="str"/>
      <x:c r="E6" s="31" t="str"/>
      <x:c r="F6" s="46" t="str">
        <x:v>Pending</x:v>
      </x:c>
    </x:row>
    <x:row r="7">
      <x:c r="A7" s="25" t="str">
        <x:v>Coils</x:v>
      </x:c>
      <x:c r="B7" s="26" t="str">
        <x:v>Six coil resistances and insulation checks recorded</x:v>
      </x:c>
      <x:c r="C7" s="32" t="str"/>
      <x:c r="D7" s="32" t="str"/>
      <x:c r="E7" s="32" t="str"/>
      <x:c r="F7" s="47" t="str">
        <x:v>Pending</x:v>
      </x:c>
    </x:row>
    <x:row r="8">
      <x:c r="A8" s="25" t="str">
        <x:v>Polarity</x:v>
      </x:c>
      <x:c r="B8" s="26" t="str">
        <x:v>All phase pairs confirmed at low current</x:v>
      </x:c>
      <x:c r="C8" s="32" t="str"/>
      <x:c r="D8" s="32" t="str"/>
      <x:c r="E8" s="32" t="str"/>
      <x:c r="F8" s="47" t="str">
        <x:v>Pending</x:v>
      </x:c>
    </x:row>
    <x:row r="9">
      <x:c r="A9" s="25" t="str">
        <x:v>Encoder</x:v>
      </x:c>
      <x:c r="B9" s="26" t="str">
        <x:v>Datum and ±18 mm soft limits verified</x:v>
      </x:c>
      <x:c r="C9" s="32" t="str"/>
      <x:c r="D9" s="32" t="str"/>
      <x:c r="E9" s="32" t="str"/>
      <x:c r="F9" s="47" t="str">
        <x:v>Pending</x:v>
      </x:c>
    </x:row>
    <x:row r="10">
      <x:c r="A10" s="25" t="str">
        <x:v>Force</x:v>
      </x:c>
      <x:c r="B10" s="26" t="str">
        <x:v>Measured force at −20, 0, +20 mm recorded</x:v>
      </x:c>
      <x:c r="C10" s="32" t="str"/>
      <x:c r="D10" s="32" t="str"/>
      <x:c r="E10" s="32" t="str"/>
      <x:c r="F10" s="47" t="str">
        <x:v>Pending</x:v>
      </x:c>
    </x:row>
    <x:row r="11">
      <x:c r="A11" s="25" t="str">
        <x:v>Thermal 0.75/1.0 A</x:v>
      </x:c>
      <x:c r="B11" s="26" t="str">
        <x:v>Thermal steady-state tests completed</x:v>
      </x:c>
      <x:c r="C11" s="32" t="str"/>
      <x:c r="D11" s="32" t="str"/>
      <x:c r="E11" s="32" t="str"/>
      <x:c r="F11" s="47" t="str">
        <x:v>Pending</x:v>
      </x:c>
    </x:row>
    <x:row r="12">
      <x:c r="A12" s="25" t="str">
        <x:v>Current limits</x:v>
      </x:c>
      <x:c r="B12" s="26" t="str">
        <x:v>Continuous and peak limits documented</x:v>
      </x:c>
      <x:c r="C12" s="32" t="str"/>
      <x:c r="D12" s="32" t="str"/>
      <x:c r="E12" s="32" t="str"/>
      <x:c r="F12" s="47" t="str">
        <x:v>Pending</x:v>
      </x:c>
    </x:row>
    <x:row r="13">
      <x:c r="A13" s="25" t="str">
        <x:v>Mechanical</x:v>
      </x:c>
      <x:c r="B13" s="26" t="str">
        <x:v>Leads, strain relief, and clearances inspected</x:v>
      </x:c>
      <x:c r="C13" s="32" t="str"/>
      <x:c r="D13" s="32" t="str"/>
      <x:c r="E13" s="32" t="str"/>
      <x:c r="F13" s="47" t="str">
        <x:v>Pending</x:v>
      </x:c>
    </x:row>
    <x:row r="14">
      <x:c r="A14" s="25" t="str">
        <x:v>Deviations</x:v>
      </x:c>
      <x:c r="B14" s="26" t="str">
        <x:v>All deviations documented and closed</x:v>
      </x:c>
      <x:c r="C14" s="32" t="str"/>
      <x:c r="D14" s="32" t="str"/>
      <x:c r="E14" s="32" t="str"/>
      <x:c r="F14" s="47" t="str">
        <x:v>Pending</x:v>
      </x:c>
    </x:row>
    <x:row r="15">
      <x:c r="A15" s="28" t="str">
        <x:v>Release</x:v>
      </x:c>
      <x:c r="B15" s="29" t="str">
        <x:v>Motor approved for next build stage</x:v>
      </x:c>
      <x:c r="C15" s="33" t="str"/>
      <x:c r="D15" s="33" t="str"/>
      <x:c r="E15" s="33" t="str"/>
      <x:c r="F15" s="48" t="str">
        <x:v>Pending</x:v>
      </x:c>
    </x:row>
  </x:sheetData>
  <x:mergeCells>
    <x:mergeCell ref="A1:F1"/>
    <x:mergeCell ref="A2:F2"/>
  </x:mergeCells>
  <x:conditionalFormatting sqref="F6:F15">
    <x:cfRule type="containsText" dxfId="8" priority="1" operator="containsText" text="Pass"/>
    <x:cfRule type="containsText" dxfId="9" priority="2" operator="containsText" text="Fail"/>
  </x:conditionalFormatting>
  <x:dataValidations count="1">
    <x:dataValidation type="list" sqref="F6:F15">
      <x:formula1>"Pending,Pass,Fail,Conditional"</x:formula1>
    </x:dataValidation>
  </x:dataValidations>
  <x:pageMargins left="0.7" right="0.7" top="0.75" bottom="0.75" header="0.3" footer="0.3"/>
</x:worksheet>
</file>